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<sst xmlns="http://schemas.openxmlformats.org/spreadsheetml/2006/main" count="428" uniqueCount="157">
  <si>
    <t>Client_ID</t>
  </si>
  <si>
    <t>Client_Name</t>
  </si>
  <si>
    <t>Company_Name</t>
  </si>
  <si>
    <t>Service</t>
  </si>
  <si>
    <t>Project_Budget</t>
  </si>
  <si>
    <t>Project_Status</t>
  </si>
  <si>
    <t>Start_Date</t>
  </si>
  <si>
    <t>End_Date</t>
  </si>
  <si>
    <t>Client_City</t>
  </si>
  <si>
    <t>Lead_Source</t>
  </si>
  <si>
    <t>Payment_Status</t>
  </si>
  <si>
    <t>Client_Rating</t>
  </si>
  <si>
    <t>C001</t>
  </si>
  <si>
    <t>Ahmed Ali</t>
  </si>
  <si>
    <t>Tech Solutions</t>
  </si>
  <si>
    <t>Web Development</t>
  </si>
  <si>
    <t>Completed</t>
  </si>
  <si>
    <t>Karachi</t>
  </si>
  <si>
    <t>Website</t>
  </si>
  <si>
    <t>Paid</t>
  </si>
  <si>
    <t>C002</t>
  </si>
  <si>
    <t>Sara Khan</t>
  </si>
  <si>
    <t>Digital Hub</t>
  </si>
  <si>
    <t>SEO</t>
  </si>
  <si>
    <t>In Progress</t>
  </si>
  <si>
    <t>Lahore</t>
  </si>
  <si>
    <t>LinkedIn</t>
  </si>
  <si>
    <t>Pending</t>
  </si>
  <si>
    <t>C003</t>
  </si>
  <si>
    <t>Ali Hassan</t>
  </si>
  <si>
    <t>Future Tech</t>
  </si>
  <si>
    <t>Data Analytics</t>
  </si>
  <si>
    <t>Islamabad</t>
  </si>
  <si>
    <t>Referral</t>
  </si>
  <si>
    <t>C004</t>
  </si>
  <si>
    <t>Ayesha Malik</t>
  </si>
  <si>
    <t>Smart Vision</t>
  </si>
  <si>
    <t>UI/UX Design</t>
  </si>
  <si>
    <t>Hyderabad</t>
  </si>
  <si>
    <t>Facebook</t>
  </si>
  <si>
    <t>C005</t>
  </si>
  <si>
    <t>Bilal Ahmed</t>
  </si>
  <si>
    <t>Core Systems</t>
  </si>
  <si>
    <t>Software Development</t>
  </si>
  <si>
    <t>C006</t>
  </si>
  <si>
    <t>Hina Shah</t>
  </si>
  <si>
    <t>InnovateX</t>
  </si>
  <si>
    <t>Digital Marketing</t>
  </si>
  <si>
    <t>C007</t>
  </si>
  <si>
    <t>Usman Tariq</t>
  </si>
  <si>
    <t>Data Works</t>
  </si>
  <si>
    <t>Cloud Solutions</t>
  </si>
  <si>
    <t>C008</t>
  </si>
  <si>
    <t>Fatima Noor</t>
  </si>
  <si>
    <t>Soft Vision</t>
  </si>
  <si>
    <t>Jamshoro</t>
  </si>
  <si>
    <t>C009</t>
  </si>
  <si>
    <t>Hassan Raza</t>
  </si>
  <si>
    <t>Future Systems</t>
  </si>
  <si>
    <t>C010</t>
  </si>
  <si>
    <t>Zain Ali</t>
  </si>
  <si>
    <t>Tech World</t>
  </si>
  <si>
    <t>C011</t>
  </si>
  <si>
    <t>Maria Khan</t>
  </si>
  <si>
    <t>C012</t>
  </si>
  <si>
    <t>Umer Farooq</t>
  </si>
  <si>
    <t>C013</t>
  </si>
  <si>
    <t>Noor Fatima</t>
  </si>
  <si>
    <t>C014</t>
  </si>
  <si>
    <t>Saad Ahmed</t>
  </si>
  <si>
    <t>C015</t>
  </si>
  <si>
    <t>Maham Ali</t>
  </si>
  <si>
    <t>C016</t>
  </si>
  <si>
    <t>Danish Khan</t>
  </si>
  <si>
    <t>C017</t>
  </si>
  <si>
    <t>Rabia Noor</t>
  </si>
  <si>
    <t>C018</t>
  </si>
  <si>
    <t>Arsalan Ali</t>
  </si>
  <si>
    <t>C019</t>
  </si>
  <si>
    <t>Laiba Shah</t>
  </si>
  <si>
    <t>C020</t>
  </si>
  <si>
    <t>Talha Ahmed</t>
  </si>
  <si>
    <t>C021</t>
  </si>
  <si>
    <t>Amna Khan</t>
  </si>
  <si>
    <t>C022</t>
  </si>
  <si>
    <t>Hamza Ali</t>
  </si>
  <si>
    <t>C023</t>
  </si>
  <si>
    <t>Sana Fatima</t>
  </si>
  <si>
    <t>C024</t>
  </si>
  <si>
    <t>Jawad Khan</t>
  </si>
  <si>
    <t>C025</t>
  </si>
  <si>
    <t>Eman Noor</t>
  </si>
  <si>
    <t>C026</t>
  </si>
  <si>
    <t>Ali Raza</t>
  </si>
  <si>
    <t>C027</t>
  </si>
  <si>
    <t>Hira Ahmed</t>
  </si>
  <si>
    <t>C028</t>
  </si>
  <si>
    <t>Usama Khan</t>
  </si>
  <si>
    <t>C029</t>
  </si>
  <si>
    <t>Mehak Ali</t>
  </si>
  <si>
    <t>C030</t>
  </si>
  <si>
    <t>Shayan Ahmed</t>
  </si>
  <si>
    <t>C031</t>
  </si>
  <si>
    <t>Anaya Khan</t>
  </si>
  <si>
    <t>C032</t>
  </si>
  <si>
    <t>Zoya Noor</t>
  </si>
  <si>
    <t>C033</t>
  </si>
  <si>
    <t>Mustafa Ali</t>
  </si>
  <si>
    <t>C034</t>
  </si>
  <si>
    <t>Areeba Fatima</t>
  </si>
  <si>
    <t>C035</t>
  </si>
  <si>
    <t>Abdullah Khan</t>
  </si>
  <si>
    <t>C036</t>
  </si>
  <si>
    <t>Minal Noor</t>
  </si>
  <si>
    <t>C037</t>
  </si>
  <si>
    <t>Huzaifa Ali</t>
  </si>
  <si>
    <t>C038</t>
  </si>
  <si>
    <t>Syeda Fatima</t>
  </si>
  <si>
    <t>C039</t>
  </si>
  <si>
    <t>Taimoor Ahmed</t>
  </si>
  <si>
    <t>C040</t>
  </si>
  <si>
    <t>Komal Khan</t>
  </si>
  <si>
    <t>C041</t>
  </si>
  <si>
    <t>Ayan Ali</t>
  </si>
  <si>
    <t>C042</t>
  </si>
  <si>
    <t>Momina Noor</t>
  </si>
  <si>
    <t>C043</t>
  </si>
  <si>
    <t>Farhan Ahmed</t>
  </si>
  <si>
    <t>C044</t>
  </si>
  <si>
    <t>Alina Khan</t>
  </si>
  <si>
    <t>C045</t>
  </si>
  <si>
    <t>Rehan Ali</t>
  </si>
  <si>
    <t>C046</t>
  </si>
  <si>
    <t>Iqra Fatima</t>
  </si>
  <si>
    <t>C047</t>
  </si>
  <si>
    <t>Waqas Ahmed</t>
  </si>
  <si>
    <t>C048</t>
  </si>
  <si>
    <t>Sidra Noor</t>
  </si>
  <si>
    <t>C049</t>
  </si>
  <si>
    <t>Asad Khan</t>
  </si>
  <si>
    <t>C050</t>
  </si>
  <si>
    <t>Nimra Ali</t>
  </si>
  <si>
    <t>Total Budget</t>
  </si>
  <si>
    <t>Average Budget</t>
  </si>
  <si>
    <t>Highest Budget</t>
  </si>
  <si>
    <t>Lowest Budget</t>
  </si>
  <si>
    <t>Total Clients</t>
  </si>
  <si>
    <t>Completed Projects</t>
  </si>
  <si>
    <t>Pending Projects</t>
  </si>
  <si>
    <t>Paid Revenue</t>
  </si>
  <si>
    <t>Average Rating</t>
  </si>
  <si>
    <t>Website Clients</t>
  </si>
  <si>
    <t>LinkedIn Clients</t>
  </si>
  <si>
    <t>Referral Clients</t>
  </si>
  <si>
    <t>Facebook Clients</t>
  </si>
  <si>
    <t>VLOOKUP Example</t>
  </si>
  <si>
    <t>XLOOKUP Example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</si>
</sst>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6C757D"/>
      <name val="Plus Jakarta Sa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3">
        <v>5000.0</v>
      </c>
      <c r="F2" s="2" t="s">
        <v>16</v>
      </c>
      <c r="G2" s="4">
        <v>45662.0</v>
      </c>
      <c r="H2" s="4">
        <v>45703.0</v>
      </c>
      <c r="I2" s="2" t="s">
        <v>17</v>
      </c>
      <c r="J2" s="2" t="s">
        <v>18</v>
      </c>
      <c r="K2" s="2" t="s">
        <v>19</v>
      </c>
      <c r="L2" s="3">
        <v>5.0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3">
        <v>3000.0</v>
      </c>
      <c r="F3" s="2" t="s">
        <v>24</v>
      </c>
      <c r="G3" s="4">
        <v>45689.0</v>
      </c>
      <c r="H3" s="4">
        <v>45731.0</v>
      </c>
      <c r="I3" s="2" t="s">
        <v>25</v>
      </c>
      <c r="J3" s="2" t="s">
        <v>26</v>
      </c>
      <c r="K3" s="2" t="s">
        <v>27</v>
      </c>
      <c r="L3" s="3">
        <v>4.0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3">
        <v>7000.0</v>
      </c>
      <c r="F4" s="2" t="s">
        <v>16</v>
      </c>
      <c r="G4" s="4">
        <v>45667.0</v>
      </c>
      <c r="H4" s="4">
        <v>45713.0</v>
      </c>
      <c r="I4" s="2" t="s">
        <v>32</v>
      </c>
      <c r="J4" s="2" t="s">
        <v>33</v>
      </c>
      <c r="K4" s="2" t="s">
        <v>19</v>
      </c>
      <c r="L4" s="3">
        <v>5.0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3">
        <v>4500.0</v>
      </c>
      <c r="F5" s="2" t="s">
        <v>16</v>
      </c>
      <c r="G5" s="4">
        <v>45672.0</v>
      </c>
      <c r="H5" s="4">
        <v>45708.0</v>
      </c>
      <c r="I5" s="2" t="s">
        <v>38</v>
      </c>
      <c r="J5" s="2" t="s">
        <v>39</v>
      </c>
      <c r="K5" s="2" t="s">
        <v>19</v>
      </c>
      <c r="L5" s="3">
        <v>4.0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3">
        <v>9000.0</v>
      </c>
      <c r="F6" s="2" t="s">
        <v>24</v>
      </c>
      <c r="G6" s="4">
        <v>45693.0</v>
      </c>
      <c r="H6" s="4">
        <v>45757.0</v>
      </c>
      <c r="I6" s="2" t="s">
        <v>17</v>
      </c>
      <c r="J6" s="2" t="s">
        <v>18</v>
      </c>
      <c r="K6" s="2" t="s">
        <v>27</v>
      </c>
      <c r="L6" s="3">
        <v>5.0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3">
        <v>3500.0</v>
      </c>
      <c r="F7" s="2" t="s">
        <v>16</v>
      </c>
      <c r="G7" s="4">
        <v>45669.0</v>
      </c>
      <c r="H7" s="4">
        <v>45706.0</v>
      </c>
      <c r="I7" s="2" t="s">
        <v>25</v>
      </c>
      <c r="J7" s="2" t="s">
        <v>26</v>
      </c>
      <c r="K7" s="2" t="s">
        <v>19</v>
      </c>
      <c r="L7" s="3">
        <v>4.0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48</v>
      </c>
      <c r="B8" s="2" t="s">
        <v>49</v>
      </c>
      <c r="C8" s="2" t="s">
        <v>50</v>
      </c>
      <c r="D8" s="2" t="s">
        <v>51</v>
      </c>
      <c r="E8" s="3">
        <v>8500.0</v>
      </c>
      <c r="F8" s="2" t="s">
        <v>27</v>
      </c>
      <c r="G8" s="4">
        <v>45717.0</v>
      </c>
      <c r="H8" s="4">
        <v>45778.0</v>
      </c>
      <c r="I8" s="2" t="s">
        <v>32</v>
      </c>
      <c r="J8" s="2" t="s">
        <v>33</v>
      </c>
      <c r="K8" s="2" t="s">
        <v>19</v>
      </c>
      <c r="L8" s="3">
        <v>5.0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52</v>
      </c>
      <c r="B9" s="2" t="s">
        <v>53</v>
      </c>
      <c r="C9" s="2" t="s">
        <v>54</v>
      </c>
      <c r="D9" s="2" t="s">
        <v>23</v>
      </c>
      <c r="E9" s="3">
        <v>2800.0</v>
      </c>
      <c r="F9" s="2" t="s">
        <v>16</v>
      </c>
      <c r="G9" s="4">
        <v>45664.0</v>
      </c>
      <c r="H9" s="4">
        <v>45698.0</v>
      </c>
      <c r="I9" s="2" t="s">
        <v>55</v>
      </c>
      <c r="J9" s="2" t="s">
        <v>18</v>
      </c>
      <c r="K9" s="2" t="s">
        <v>27</v>
      </c>
      <c r="L9" s="3">
        <v>4.0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56</v>
      </c>
      <c r="B10" s="2" t="s">
        <v>57</v>
      </c>
      <c r="C10" s="2" t="s">
        <v>58</v>
      </c>
      <c r="D10" s="2" t="s">
        <v>15</v>
      </c>
      <c r="E10" s="3">
        <v>6000.0</v>
      </c>
      <c r="F10" s="2" t="s">
        <v>24</v>
      </c>
      <c r="G10" s="4">
        <v>45696.0</v>
      </c>
      <c r="H10" s="4">
        <v>45746.0</v>
      </c>
      <c r="I10" s="2" t="s">
        <v>17</v>
      </c>
      <c r="J10" s="2" t="s">
        <v>39</v>
      </c>
      <c r="K10" s="2" t="s">
        <v>19</v>
      </c>
      <c r="L10" s="3">
        <v>5.0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59</v>
      </c>
      <c r="B11" s="2" t="s">
        <v>60</v>
      </c>
      <c r="C11" s="2" t="s">
        <v>61</v>
      </c>
      <c r="D11" s="2" t="s">
        <v>31</v>
      </c>
      <c r="E11" s="3">
        <v>7500.0</v>
      </c>
      <c r="F11" s="2" t="s">
        <v>16</v>
      </c>
      <c r="G11" s="4">
        <v>45675.0</v>
      </c>
      <c r="H11" s="4">
        <v>45716.0</v>
      </c>
      <c r="I11" s="2" t="s">
        <v>25</v>
      </c>
      <c r="J11" s="2" t="s">
        <v>26</v>
      </c>
      <c r="K11" s="2" t="s">
        <v>19</v>
      </c>
      <c r="L11" s="3">
        <v>4.0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62</v>
      </c>
      <c r="B12" s="2" t="s">
        <v>63</v>
      </c>
      <c r="C12" s="2" t="s">
        <v>22</v>
      </c>
      <c r="D12" s="2" t="s">
        <v>23</v>
      </c>
      <c r="E12" s="3">
        <v>3200.0</v>
      </c>
      <c r="F12" s="2" t="s">
        <v>16</v>
      </c>
      <c r="G12" s="4">
        <v>45668.0</v>
      </c>
      <c r="H12" s="4">
        <v>45700.0</v>
      </c>
      <c r="I12" s="2" t="s">
        <v>17</v>
      </c>
      <c r="J12" s="2" t="s">
        <v>18</v>
      </c>
      <c r="K12" s="2" t="s">
        <v>19</v>
      </c>
      <c r="L12" s="3">
        <v>5.0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64</v>
      </c>
      <c r="B13" s="2" t="s">
        <v>65</v>
      </c>
      <c r="C13" s="2" t="s">
        <v>42</v>
      </c>
      <c r="D13" s="2" t="s">
        <v>43</v>
      </c>
      <c r="E13" s="3">
        <v>9500.0</v>
      </c>
      <c r="F13" s="2" t="s">
        <v>24</v>
      </c>
      <c r="G13" s="4">
        <v>45703.0</v>
      </c>
      <c r="H13" s="4">
        <v>45767.0</v>
      </c>
      <c r="I13" s="2" t="s">
        <v>32</v>
      </c>
      <c r="J13" s="2" t="s">
        <v>33</v>
      </c>
      <c r="K13" s="2" t="s">
        <v>27</v>
      </c>
      <c r="L13" s="3">
        <v>4.0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66</v>
      </c>
      <c r="B14" s="2" t="s">
        <v>67</v>
      </c>
      <c r="C14" s="2" t="s">
        <v>46</v>
      </c>
      <c r="D14" s="2" t="s">
        <v>37</v>
      </c>
      <c r="E14" s="3">
        <v>4200.0</v>
      </c>
      <c r="F14" s="2" t="s">
        <v>16</v>
      </c>
      <c r="G14" s="4">
        <v>45679.0</v>
      </c>
      <c r="H14" s="4">
        <v>45713.0</v>
      </c>
      <c r="I14" s="2" t="s">
        <v>38</v>
      </c>
      <c r="J14" s="2" t="s">
        <v>39</v>
      </c>
      <c r="K14" s="2" t="s">
        <v>19</v>
      </c>
      <c r="L14" s="3">
        <v>5.0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68</v>
      </c>
      <c r="B15" s="2" t="s">
        <v>69</v>
      </c>
      <c r="C15" s="2" t="s">
        <v>36</v>
      </c>
      <c r="D15" s="2" t="s">
        <v>47</v>
      </c>
      <c r="E15" s="3">
        <v>3800.0</v>
      </c>
      <c r="F15" s="2" t="s">
        <v>16</v>
      </c>
      <c r="G15" s="4">
        <v>45666.0</v>
      </c>
      <c r="H15" s="4">
        <v>45702.0</v>
      </c>
      <c r="I15" s="2" t="s">
        <v>25</v>
      </c>
      <c r="J15" s="2" t="s">
        <v>26</v>
      </c>
      <c r="K15" s="2" t="s">
        <v>19</v>
      </c>
      <c r="L15" s="3">
        <v>4.0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70</v>
      </c>
      <c r="B16" s="2" t="s">
        <v>71</v>
      </c>
      <c r="C16" s="2" t="s">
        <v>14</v>
      </c>
      <c r="D16" s="2" t="s">
        <v>51</v>
      </c>
      <c r="E16" s="3">
        <v>8000.0</v>
      </c>
      <c r="F16" s="2" t="s">
        <v>27</v>
      </c>
      <c r="G16" s="4">
        <v>45721.0</v>
      </c>
      <c r="H16" s="4">
        <v>45787.0</v>
      </c>
      <c r="I16" s="2" t="s">
        <v>17</v>
      </c>
      <c r="J16" s="2" t="s">
        <v>18</v>
      </c>
      <c r="K16" s="2" t="s">
        <v>27</v>
      </c>
      <c r="L16" s="3">
        <v>5.0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72</v>
      </c>
      <c r="B17" s="2" t="s">
        <v>73</v>
      </c>
      <c r="C17" s="2" t="s">
        <v>30</v>
      </c>
      <c r="D17" s="2" t="s">
        <v>31</v>
      </c>
      <c r="E17" s="3">
        <v>6800.0</v>
      </c>
      <c r="F17" s="2" t="s">
        <v>16</v>
      </c>
      <c r="G17" s="4">
        <v>45663.0</v>
      </c>
      <c r="H17" s="4">
        <v>45704.0</v>
      </c>
      <c r="I17" s="2" t="s">
        <v>32</v>
      </c>
      <c r="J17" s="2" t="s">
        <v>33</v>
      </c>
      <c r="K17" s="2" t="s">
        <v>19</v>
      </c>
      <c r="L17" s="3">
        <v>4.0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74</v>
      </c>
      <c r="B18" s="2" t="s">
        <v>75</v>
      </c>
      <c r="C18" s="2" t="s">
        <v>54</v>
      </c>
      <c r="D18" s="2" t="s">
        <v>23</v>
      </c>
      <c r="E18" s="3">
        <v>2600.0</v>
      </c>
      <c r="F18" s="2" t="s">
        <v>16</v>
      </c>
      <c r="G18" s="4">
        <v>45670.0</v>
      </c>
      <c r="H18" s="4">
        <v>45705.0</v>
      </c>
      <c r="I18" s="2" t="s">
        <v>55</v>
      </c>
      <c r="J18" s="2" t="s">
        <v>26</v>
      </c>
      <c r="K18" s="2" t="s">
        <v>19</v>
      </c>
      <c r="L18" s="3">
        <v>5.0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76</v>
      </c>
      <c r="B19" s="2" t="s">
        <v>77</v>
      </c>
      <c r="C19" s="2" t="s">
        <v>42</v>
      </c>
      <c r="D19" s="2" t="s">
        <v>15</v>
      </c>
      <c r="E19" s="3">
        <v>5500.0</v>
      </c>
      <c r="F19" s="2" t="s">
        <v>24</v>
      </c>
      <c r="G19" s="4">
        <v>45698.0</v>
      </c>
      <c r="H19" s="4">
        <v>45741.0</v>
      </c>
      <c r="I19" s="2" t="s">
        <v>17</v>
      </c>
      <c r="J19" s="2" t="s">
        <v>18</v>
      </c>
      <c r="K19" s="2" t="s">
        <v>27</v>
      </c>
      <c r="L19" s="3">
        <v>4.0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78</v>
      </c>
      <c r="B20" s="2" t="s">
        <v>79</v>
      </c>
      <c r="C20" s="2" t="s">
        <v>46</v>
      </c>
      <c r="D20" s="2" t="s">
        <v>37</v>
      </c>
      <c r="E20" s="3">
        <v>4300.0</v>
      </c>
      <c r="F20" s="2" t="s">
        <v>16</v>
      </c>
      <c r="G20" s="4">
        <v>45674.0</v>
      </c>
      <c r="H20" s="4">
        <v>45710.0</v>
      </c>
      <c r="I20" s="2" t="s">
        <v>25</v>
      </c>
      <c r="J20" s="2" t="s">
        <v>39</v>
      </c>
      <c r="K20" s="2" t="s">
        <v>19</v>
      </c>
      <c r="L20" s="3">
        <v>5.0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80</v>
      </c>
      <c r="B21" s="2" t="s">
        <v>81</v>
      </c>
      <c r="C21" s="2" t="s">
        <v>61</v>
      </c>
      <c r="D21" s="2" t="s">
        <v>43</v>
      </c>
      <c r="E21" s="3">
        <v>10000.0</v>
      </c>
      <c r="F21" s="2" t="s">
        <v>16</v>
      </c>
      <c r="G21" s="4">
        <v>45660.0</v>
      </c>
      <c r="H21" s="4">
        <v>45716.0</v>
      </c>
      <c r="I21" s="2" t="s">
        <v>32</v>
      </c>
      <c r="J21" s="2" t="s">
        <v>33</v>
      </c>
      <c r="K21" s="2" t="s">
        <v>19</v>
      </c>
      <c r="L21" s="3">
        <v>4.0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82</v>
      </c>
      <c r="B22" s="2" t="s">
        <v>83</v>
      </c>
      <c r="C22" s="2" t="s">
        <v>58</v>
      </c>
      <c r="D22" s="2" t="s">
        <v>23</v>
      </c>
      <c r="E22" s="3">
        <v>3100.0</v>
      </c>
      <c r="F22" s="2" t="s">
        <v>16</v>
      </c>
      <c r="G22" s="4">
        <v>45671.0</v>
      </c>
      <c r="H22" s="4">
        <v>45706.0</v>
      </c>
      <c r="I22" s="2" t="s">
        <v>17</v>
      </c>
      <c r="J22" s="2" t="s">
        <v>18</v>
      </c>
      <c r="K22" s="2" t="s">
        <v>19</v>
      </c>
      <c r="L22" s="3">
        <v>5.0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84</v>
      </c>
      <c r="B23" s="2" t="s">
        <v>85</v>
      </c>
      <c r="C23" s="2" t="s">
        <v>50</v>
      </c>
      <c r="D23" s="2" t="s">
        <v>51</v>
      </c>
      <c r="E23" s="3">
        <v>8700.0</v>
      </c>
      <c r="F23" s="2" t="s">
        <v>24</v>
      </c>
      <c r="G23" s="4">
        <v>45700.0</v>
      </c>
      <c r="H23" s="4">
        <v>45777.0</v>
      </c>
      <c r="I23" s="2" t="s">
        <v>25</v>
      </c>
      <c r="J23" s="2" t="s">
        <v>26</v>
      </c>
      <c r="K23" s="2" t="s">
        <v>27</v>
      </c>
      <c r="L23" s="3">
        <v>4.0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86</v>
      </c>
      <c r="B24" s="2" t="s">
        <v>87</v>
      </c>
      <c r="C24" s="2" t="s">
        <v>36</v>
      </c>
      <c r="D24" s="2" t="s">
        <v>47</v>
      </c>
      <c r="E24" s="3">
        <v>3600.0</v>
      </c>
      <c r="F24" s="2" t="s">
        <v>16</v>
      </c>
      <c r="G24" s="4">
        <v>45676.0</v>
      </c>
      <c r="H24" s="4">
        <v>45709.0</v>
      </c>
      <c r="I24" s="2" t="s">
        <v>38</v>
      </c>
      <c r="J24" s="2" t="s">
        <v>39</v>
      </c>
      <c r="K24" s="2" t="s">
        <v>19</v>
      </c>
      <c r="L24" s="3">
        <v>5.0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88</v>
      </c>
      <c r="B25" s="2" t="s">
        <v>89</v>
      </c>
      <c r="C25" s="2" t="s">
        <v>42</v>
      </c>
      <c r="D25" s="2" t="s">
        <v>15</v>
      </c>
      <c r="E25" s="3">
        <v>5900.0</v>
      </c>
      <c r="F25" s="2" t="s">
        <v>16</v>
      </c>
      <c r="G25" s="4">
        <v>45677.0</v>
      </c>
      <c r="H25" s="4">
        <v>45714.0</v>
      </c>
      <c r="I25" s="2" t="s">
        <v>17</v>
      </c>
      <c r="J25" s="2" t="s">
        <v>33</v>
      </c>
      <c r="K25" s="2" t="s">
        <v>19</v>
      </c>
      <c r="L25" s="3">
        <v>4.0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90</v>
      </c>
      <c r="B26" s="2" t="s">
        <v>91</v>
      </c>
      <c r="C26" s="2" t="s">
        <v>14</v>
      </c>
      <c r="D26" s="2" t="s">
        <v>23</v>
      </c>
      <c r="E26" s="3">
        <v>2700.0</v>
      </c>
      <c r="F26" s="2" t="s">
        <v>16</v>
      </c>
      <c r="G26" s="4">
        <v>45673.0</v>
      </c>
      <c r="H26" s="4">
        <v>45701.0</v>
      </c>
      <c r="I26" s="2" t="s">
        <v>55</v>
      </c>
      <c r="J26" s="2" t="s">
        <v>18</v>
      </c>
      <c r="K26" s="2" t="s">
        <v>27</v>
      </c>
      <c r="L26" s="3">
        <v>5.0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92</v>
      </c>
      <c r="B27" s="2" t="s">
        <v>93</v>
      </c>
      <c r="C27" s="2" t="s">
        <v>30</v>
      </c>
      <c r="D27" s="2" t="s">
        <v>31</v>
      </c>
      <c r="E27" s="3">
        <v>7200.0</v>
      </c>
      <c r="F27" s="2" t="s">
        <v>24</v>
      </c>
      <c r="G27" s="4">
        <v>45691.0</v>
      </c>
      <c r="H27" s="4">
        <v>45744.0</v>
      </c>
      <c r="I27" s="2" t="s">
        <v>32</v>
      </c>
      <c r="J27" s="2" t="s">
        <v>26</v>
      </c>
      <c r="K27" s="2" t="s">
        <v>19</v>
      </c>
      <c r="L27" s="3">
        <v>4.0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94</v>
      </c>
      <c r="B28" s="2" t="s">
        <v>95</v>
      </c>
      <c r="C28" s="2" t="s">
        <v>46</v>
      </c>
      <c r="D28" s="2" t="s">
        <v>37</v>
      </c>
      <c r="E28" s="3">
        <v>4100.0</v>
      </c>
      <c r="F28" s="2" t="s">
        <v>16</v>
      </c>
      <c r="G28" s="4">
        <v>45665.0</v>
      </c>
      <c r="H28" s="4">
        <v>45700.0</v>
      </c>
      <c r="I28" s="2" t="s">
        <v>25</v>
      </c>
      <c r="J28" s="2" t="s">
        <v>39</v>
      </c>
      <c r="K28" s="2" t="s">
        <v>19</v>
      </c>
      <c r="L28" s="3">
        <v>5.0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96</v>
      </c>
      <c r="B29" s="2" t="s">
        <v>97</v>
      </c>
      <c r="C29" s="2" t="s">
        <v>22</v>
      </c>
      <c r="D29" s="2" t="s">
        <v>47</v>
      </c>
      <c r="E29" s="3">
        <v>3900.0</v>
      </c>
      <c r="F29" s="2" t="s">
        <v>16</v>
      </c>
      <c r="G29" s="4">
        <v>45675.0</v>
      </c>
      <c r="H29" s="4">
        <v>45708.0</v>
      </c>
      <c r="I29" s="2" t="s">
        <v>17</v>
      </c>
      <c r="J29" s="2" t="s">
        <v>33</v>
      </c>
      <c r="K29" s="2" t="s">
        <v>27</v>
      </c>
      <c r="L29" s="3">
        <v>4.0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98</v>
      </c>
      <c r="B30" s="2" t="s">
        <v>99</v>
      </c>
      <c r="C30" s="2" t="s">
        <v>54</v>
      </c>
      <c r="D30" s="2" t="s">
        <v>23</v>
      </c>
      <c r="E30" s="3">
        <v>2900.0</v>
      </c>
      <c r="F30" s="2" t="s">
        <v>16</v>
      </c>
      <c r="G30" s="4">
        <v>45672.0</v>
      </c>
      <c r="H30" s="4">
        <v>45702.0</v>
      </c>
      <c r="I30" s="2" t="s">
        <v>38</v>
      </c>
      <c r="J30" s="2" t="s">
        <v>18</v>
      </c>
      <c r="K30" s="2" t="s">
        <v>19</v>
      </c>
      <c r="L30" s="3">
        <v>5.0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100</v>
      </c>
      <c r="B31" s="2" t="s">
        <v>101</v>
      </c>
      <c r="C31" s="2" t="s">
        <v>42</v>
      </c>
      <c r="D31" s="2" t="s">
        <v>43</v>
      </c>
      <c r="E31" s="3">
        <v>9200.0</v>
      </c>
      <c r="F31" s="2" t="s">
        <v>24</v>
      </c>
      <c r="G31" s="4">
        <v>45699.0</v>
      </c>
      <c r="H31" s="4">
        <v>45772.0</v>
      </c>
      <c r="I31" s="2" t="s">
        <v>32</v>
      </c>
      <c r="J31" s="2" t="s">
        <v>26</v>
      </c>
      <c r="K31" s="2" t="s">
        <v>19</v>
      </c>
      <c r="L31" s="3">
        <v>4.0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102</v>
      </c>
      <c r="B32" s="2" t="s">
        <v>103</v>
      </c>
      <c r="C32" s="2" t="s">
        <v>58</v>
      </c>
      <c r="D32" s="2" t="s">
        <v>15</v>
      </c>
      <c r="E32" s="3">
        <v>6100.0</v>
      </c>
      <c r="F32" s="2" t="s">
        <v>16</v>
      </c>
      <c r="G32" s="4">
        <v>45666.0</v>
      </c>
      <c r="H32" s="4">
        <v>45712.0</v>
      </c>
      <c r="I32" s="2" t="s">
        <v>17</v>
      </c>
      <c r="J32" s="2" t="s">
        <v>39</v>
      </c>
      <c r="K32" s="2" t="s">
        <v>19</v>
      </c>
      <c r="L32" s="3">
        <v>5.0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104</v>
      </c>
      <c r="B33" s="2" t="s">
        <v>105</v>
      </c>
      <c r="C33" s="2" t="s">
        <v>61</v>
      </c>
      <c r="D33" s="2" t="s">
        <v>31</v>
      </c>
      <c r="E33" s="3">
        <v>7600.0</v>
      </c>
      <c r="F33" s="2" t="s">
        <v>16</v>
      </c>
      <c r="G33" s="4">
        <v>45664.0</v>
      </c>
      <c r="H33" s="4">
        <v>45711.0</v>
      </c>
      <c r="I33" s="2" t="s">
        <v>25</v>
      </c>
      <c r="J33" s="2" t="s">
        <v>33</v>
      </c>
      <c r="K33" s="2" t="s">
        <v>27</v>
      </c>
      <c r="L33" s="3">
        <v>4.0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106</v>
      </c>
      <c r="B34" s="2" t="s">
        <v>107</v>
      </c>
      <c r="C34" s="2" t="s">
        <v>50</v>
      </c>
      <c r="D34" s="2" t="s">
        <v>51</v>
      </c>
      <c r="E34" s="3">
        <v>8400.0</v>
      </c>
      <c r="F34" s="2" t="s">
        <v>27</v>
      </c>
      <c r="G34" s="4">
        <v>45718.0</v>
      </c>
      <c r="H34" s="4">
        <v>45782.0</v>
      </c>
      <c r="I34" s="2" t="s">
        <v>32</v>
      </c>
      <c r="J34" s="2" t="s">
        <v>18</v>
      </c>
      <c r="K34" s="2" t="s">
        <v>19</v>
      </c>
      <c r="L34" s="3">
        <v>5.0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108</v>
      </c>
      <c r="B35" s="2" t="s">
        <v>109</v>
      </c>
      <c r="C35" s="2" t="s">
        <v>46</v>
      </c>
      <c r="D35" s="2" t="s">
        <v>37</v>
      </c>
      <c r="E35" s="3">
        <v>4400.0</v>
      </c>
      <c r="F35" s="2" t="s">
        <v>16</v>
      </c>
      <c r="G35" s="4">
        <v>45667.0</v>
      </c>
      <c r="H35" s="4">
        <v>45707.0</v>
      </c>
      <c r="I35" s="2" t="s">
        <v>17</v>
      </c>
      <c r="J35" s="2" t="s">
        <v>26</v>
      </c>
      <c r="K35" s="2" t="s">
        <v>19</v>
      </c>
      <c r="L35" s="3">
        <v>4.0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110</v>
      </c>
      <c r="B36" s="2" t="s">
        <v>111</v>
      </c>
      <c r="C36" s="2" t="s">
        <v>36</v>
      </c>
      <c r="D36" s="2" t="s">
        <v>47</v>
      </c>
      <c r="E36" s="3">
        <v>3700.0</v>
      </c>
      <c r="F36" s="2" t="s">
        <v>16</v>
      </c>
      <c r="G36" s="4">
        <v>45668.0</v>
      </c>
      <c r="H36" s="4">
        <v>45703.0</v>
      </c>
      <c r="I36" s="2" t="s">
        <v>25</v>
      </c>
      <c r="J36" s="2" t="s">
        <v>39</v>
      </c>
      <c r="K36" s="2" t="s">
        <v>27</v>
      </c>
      <c r="L36" s="3">
        <v>5.0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112</v>
      </c>
      <c r="B37" s="2" t="s">
        <v>113</v>
      </c>
      <c r="C37" s="2" t="s">
        <v>14</v>
      </c>
      <c r="D37" s="2" t="s">
        <v>23</v>
      </c>
      <c r="E37" s="3">
        <v>3000.0</v>
      </c>
      <c r="F37" s="2" t="s">
        <v>16</v>
      </c>
      <c r="G37" s="4">
        <v>45669.0</v>
      </c>
      <c r="H37" s="4">
        <v>45699.0</v>
      </c>
      <c r="I37" s="2" t="s">
        <v>55</v>
      </c>
      <c r="J37" s="2" t="s">
        <v>33</v>
      </c>
      <c r="K37" s="2" t="s">
        <v>19</v>
      </c>
      <c r="L37" s="3">
        <v>4.0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114</v>
      </c>
      <c r="B38" s="2" t="s">
        <v>115</v>
      </c>
      <c r="C38" s="2" t="s">
        <v>30</v>
      </c>
      <c r="D38" s="2" t="s">
        <v>31</v>
      </c>
      <c r="E38" s="3">
        <v>7100.0</v>
      </c>
      <c r="F38" s="2" t="s">
        <v>24</v>
      </c>
      <c r="G38" s="4">
        <v>45692.0</v>
      </c>
      <c r="H38" s="4">
        <v>45745.0</v>
      </c>
      <c r="I38" s="2" t="s">
        <v>32</v>
      </c>
      <c r="J38" s="2" t="s">
        <v>18</v>
      </c>
      <c r="K38" s="2" t="s">
        <v>19</v>
      </c>
      <c r="L38" s="3">
        <v>5.0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116</v>
      </c>
      <c r="B39" s="2" t="s">
        <v>117</v>
      </c>
      <c r="C39" s="2" t="s">
        <v>42</v>
      </c>
      <c r="D39" s="2" t="s">
        <v>43</v>
      </c>
      <c r="E39" s="3">
        <v>9800.0</v>
      </c>
      <c r="F39" s="2" t="s">
        <v>16</v>
      </c>
      <c r="G39" s="4">
        <v>45662.0</v>
      </c>
      <c r="H39" s="4">
        <v>45715.0</v>
      </c>
      <c r="I39" s="2" t="s">
        <v>17</v>
      </c>
      <c r="J39" s="2" t="s">
        <v>26</v>
      </c>
      <c r="K39" s="2" t="s">
        <v>27</v>
      </c>
      <c r="L39" s="3">
        <v>4.0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118</v>
      </c>
      <c r="B40" s="2" t="s">
        <v>119</v>
      </c>
      <c r="C40" s="2" t="s">
        <v>22</v>
      </c>
      <c r="D40" s="2" t="s">
        <v>15</v>
      </c>
      <c r="E40" s="3">
        <v>5800.0</v>
      </c>
      <c r="F40" s="2" t="s">
        <v>16</v>
      </c>
      <c r="G40" s="4">
        <v>45674.0</v>
      </c>
      <c r="H40" s="4">
        <v>45708.0</v>
      </c>
      <c r="I40" s="2" t="s">
        <v>25</v>
      </c>
      <c r="J40" s="2" t="s">
        <v>39</v>
      </c>
      <c r="K40" s="2" t="s">
        <v>19</v>
      </c>
      <c r="L40" s="3">
        <v>5.0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120</v>
      </c>
      <c r="B41" s="2" t="s">
        <v>121</v>
      </c>
      <c r="C41" s="2" t="s">
        <v>46</v>
      </c>
      <c r="D41" s="2" t="s">
        <v>37</v>
      </c>
      <c r="E41" s="3">
        <v>4000.0</v>
      </c>
      <c r="F41" s="2" t="s">
        <v>16</v>
      </c>
      <c r="G41" s="4">
        <v>45678.0</v>
      </c>
      <c r="H41" s="4">
        <v>45712.0</v>
      </c>
      <c r="I41" s="2" t="s">
        <v>38</v>
      </c>
      <c r="J41" s="2" t="s">
        <v>33</v>
      </c>
      <c r="K41" s="2" t="s">
        <v>19</v>
      </c>
      <c r="L41" s="3">
        <v>4.0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122</v>
      </c>
      <c r="B42" s="2" t="s">
        <v>123</v>
      </c>
      <c r="C42" s="2" t="s">
        <v>58</v>
      </c>
      <c r="D42" s="2" t="s">
        <v>23</v>
      </c>
      <c r="E42" s="3">
        <v>3300.0</v>
      </c>
      <c r="F42" s="2" t="s">
        <v>16</v>
      </c>
      <c r="G42" s="4">
        <v>45670.0</v>
      </c>
      <c r="H42" s="4">
        <v>45706.0</v>
      </c>
      <c r="I42" s="2" t="s">
        <v>17</v>
      </c>
      <c r="J42" s="2" t="s">
        <v>18</v>
      </c>
      <c r="K42" s="2" t="s">
        <v>19</v>
      </c>
      <c r="L42" s="3">
        <v>5.0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124</v>
      </c>
      <c r="B43" s="2" t="s">
        <v>125</v>
      </c>
      <c r="C43" s="2" t="s">
        <v>61</v>
      </c>
      <c r="D43" s="2" t="s">
        <v>51</v>
      </c>
      <c r="E43" s="3">
        <v>8900.0</v>
      </c>
      <c r="F43" s="2" t="s">
        <v>24</v>
      </c>
      <c r="G43" s="4">
        <v>45704.0</v>
      </c>
      <c r="H43" s="4">
        <v>45775.0</v>
      </c>
      <c r="I43" s="2" t="s">
        <v>32</v>
      </c>
      <c r="J43" s="2" t="s">
        <v>26</v>
      </c>
      <c r="K43" s="2" t="s">
        <v>27</v>
      </c>
      <c r="L43" s="3">
        <v>4.0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126</v>
      </c>
      <c r="B44" s="2" t="s">
        <v>127</v>
      </c>
      <c r="C44" s="2" t="s">
        <v>36</v>
      </c>
      <c r="D44" s="2" t="s">
        <v>47</v>
      </c>
      <c r="E44" s="3">
        <v>3500.0</v>
      </c>
      <c r="F44" s="2" t="s">
        <v>16</v>
      </c>
      <c r="G44" s="4">
        <v>45672.0</v>
      </c>
      <c r="H44" s="4">
        <v>45704.0</v>
      </c>
      <c r="I44" s="2" t="s">
        <v>25</v>
      </c>
      <c r="J44" s="2" t="s">
        <v>39</v>
      </c>
      <c r="K44" s="2" t="s">
        <v>19</v>
      </c>
      <c r="L44" s="3">
        <v>5.0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128</v>
      </c>
      <c r="B45" s="2" t="s">
        <v>129</v>
      </c>
      <c r="C45" s="2" t="s">
        <v>54</v>
      </c>
      <c r="D45" s="2" t="s">
        <v>23</v>
      </c>
      <c r="E45" s="3">
        <v>2800.0</v>
      </c>
      <c r="F45" s="2" t="s">
        <v>16</v>
      </c>
      <c r="G45" s="4">
        <v>45675.0</v>
      </c>
      <c r="H45" s="4">
        <v>45700.0</v>
      </c>
      <c r="I45" s="2" t="s">
        <v>55</v>
      </c>
      <c r="J45" s="2" t="s">
        <v>33</v>
      </c>
      <c r="K45" s="2" t="s">
        <v>19</v>
      </c>
      <c r="L45" s="3">
        <v>4.0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130</v>
      </c>
      <c r="B46" s="2" t="s">
        <v>131</v>
      </c>
      <c r="C46" s="2" t="s">
        <v>42</v>
      </c>
      <c r="D46" s="2" t="s">
        <v>15</v>
      </c>
      <c r="E46" s="3">
        <v>6200.0</v>
      </c>
      <c r="F46" s="2" t="s">
        <v>16</v>
      </c>
      <c r="G46" s="4">
        <v>45664.0</v>
      </c>
      <c r="H46" s="4">
        <v>45710.0</v>
      </c>
      <c r="I46" s="2" t="s">
        <v>17</v>
      </c>
      <c r="J46" s="2" t="s">
        <v>18</v>
      </c>
      <c r="K46" s="2" t="s">
        <v>27</v>
      </c>
      <c r="L46" s="3">
        <v>5.0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132</v>
      </c>
      <c r="B47" s="2" t="s">
        <v>133</v>
      </c>
      <c r="C47" s="2" t="s">
        <v>30</v>
      </c>
      <c r="D47" s="2" t="s">
        <v>31</v>
      </c>
      <c r="E47" s="3">
        <v>7400.0</v>
      </c>
      <c r="F47" s="2" t="s">
        <v>24</v>
      </c>
      <c r="G47" s="4">
        <v>45696.0</v>
      </c>
      <c r="H47" s="4">
        <v>45747.0</v>
      </c>
      <c r="I47" s="2" t="s">
        <v>32</v>
      </c>
      <c r="J47" s="2" t="s">
        <v>26</v>
      </c>
      <c r="K47" s="2" t="s">
        <v>19</v>
      </c>
      <c r="L47" s="3">
        <v>4.0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134</v>
      </c>
      <c r="B48" s="2" t="s">
        <v>135</v>
      </c>
      <c r="C48" s="2" t="s">
        <v>46</v>
      </c>
      <c r="D48" s="2" t="s">
        <v>37</v>
      </c>
      <c r="E48" s="3">
        <v>4500.0</v>
      </c>
      <c r="F48" s="2" t="s">
        <v>16</v>
      </c>
      <c r="G48" s="4">
        <v>45666.0</v>
      </c>
      <c r="H48" s="4">
        <v>45705.0</v>
      </c>
      <c r="I48" s="2" t="s">
        <v>25</v>
      </c>
      <c r="J48" s="2" t="s">
        <v>39</v>
      </c>
      <c r="K48" s="2" t="s">
        <v>19</v>
      </c>
      <c r="L48" s="3">
        <v>5.0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136</v>
      </c>
      <c r="B49" s="2" t="s">
        <v>137</v>
      </c>
      <c r="C49" s="2" t="s">
        <v>22</v>
      </c>
      <c r="D49" s="2" t="s">
        <v>47</v>
      </c>
      <c r="E49" s="3">
        <v>3800.0</v>
      </c>
      <c r="F49" s="2" t="s">
        <v>16</v>
      </c>
      <c r="G49" s="4">
        <v>45677.0</v>
      </c>
      <c r="H49" s="4">
        <v>45711.0</v>
      </c>
      <c r="I49" s="2" t="s">
        <v>38</v>
      </c>
      <c r="J49" s="2" t="s">
        <v>33</v>
      </c>
      <c r="K49" s="2" t="s">
        <v>27</v>
      </c>
      <c r="L49" s="3">
        <v>4.0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138</v>
      </c>
      <c r="B50" s="2" t="s">
        <v>139</v>
      </c>
      <c r="C50" s="2" t="s">
        <v>14</v>
      </c>
      <c r="D50" s="2" t="s">
        <v>51</v>
      </c>
      <c r="E50" s="3">
        <v>8600.0</v>
      </c>
      <c r="F50" s="2" t="s">
        <v>27</v>
      </c>
      <c r="G50" s="4">
        <v>45720.0</v>
      </c>
      <c r="H50" s="4">
        <v>45785.0</v>
      </c>
      <c r="I50" s="2" t="s">
        <v>17</v>
      </c>
      <c r="J50" s="2" t="s">
        <v>18</v>
      </c>
      <c r="K50" s="2" t="s">
        <v>19</v>
      </c>
      <c r="L50" s="3">
        <v>5.0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140</v>
      </c>
      <c r="B51" s="2" t="s">
        <v>141</v>
      </c>
      <c r="C51" s="2" t="s">
        <v>58</v>
      </c>
      <c r="D51" s="2" t="s">
        <v>23</v>
      </c>
      <c r="E51" s="3">
        <v>3100.0</v>
      </c>
      <c r="F51" s="2" t="s">
        <v>16</v>
      </c>
      <c r="G51" s="4">
        <v>45671.0</v>
      </c>
      <c r="H51" s="4">
        <v>45703.0</v>
      </c>
      <c r="I51" s="2" t="s">
        <v>32</v>
      </c>
      <c r="J51" s="2" t="s">
        <v>26</v>
      </c>
      <c r="K51" s="2" t="s">
        <v>19</v>
      </c>
      <c r="L51" s="3">
        <v>4.0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142</v>
      </c>
      <c r="B1" s="3">
        <f>SUM(Sheet1!E2:E51)</f>
        <v>278000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143</v>
      </c>
      <c r="B2" s="3">
        <f>AVERAGE(Sheet1!E2:E51)</f>
        <v>5560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144</v>
      </c>
      <c r="B3" s="3">
        <f>MAX(Sheet1!E2:E51)</f>
        <v>10000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145</v>
      </c>
      <c r="B4" s="3">
        <f>MIN(Sheet1!E2:E51)</f>
        <v>2600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146</v>
      </c>
      <c r="B5" s="3">
        <f>COUNT(Sheet1!A2:A51)</f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146</v>
      </c>
      <c r="B6" s="3">
        <f>COUNTA(Sheet1!A2:A51)</f>
        <v>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147</v>
      </c>
      <c r="B7" s="3">
        <f>COUNTIF(Sheet1!F2:F51,"Completed")</f>
        <v>35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148</v>
      </c>
      <c r="B8" s="3">
        <f>COUNTIF(Sheet1!F2:F51,"Pending")</f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149</v>
      </c>
      <c r="B9" s="3">
        <f>SUMIF(Sheet1!K2:K51,"Paid",Sheet1!E2:E51)</f>
        <v>184900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150</v>
      </c>
      <c r="B10" s="3">
        <f>AVERAGE(Sheet1!L2:L51)</f>
        <v>4.5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151</v>
      </c>
      <c r="B11" s="3">
        <f>COUNTIF(Sheet1!J2:J51,"Website")</f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152</v>
      </c>
      <c r="B12" s="3">
        <f>COUNTIF(Sheet1!J2:J51,"LinkedIn")</f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153</v>
      </c>
      <c r="B13" s="3">
        <f>COUNTIF(Sheet1!J2:J51,"Referral")</f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154</v>
      </c>
      <c r="B14" s="3">
        <f>COUNTIF(Sheet1!J2:J51,"Facebook")</f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155</v>
      </c>
      <c r="B15" s="2" t="str">
        <f>VLOOKUP("C005",Sheet1!A2:L51,2,FALSE)</f>
        <v>Bilal Ahmed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156</v>
      </c>
      <c r="B16" s="2" t="str">
        <f t="array" ref="B16">XLOOKUP("C010",Sheet1!A2:A51,Sheet1!B2:B51)</f>
        <v>Zain Ali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